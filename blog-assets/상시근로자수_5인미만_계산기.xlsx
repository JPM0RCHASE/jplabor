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인미만 판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명&quot;"/>
    <numFmt numFmtId="165" formatCode="0.0%"/>
  </numFmts>
  <fonts count="15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888888"/>
      <sz val="10"/>
    </font>
    <font>
      <name val="맑은 고딕"/>
      <b val="1"/>
      <color rgb="000F3320"/>
      <sz val="12"/>
    </font>
    <font>
      <name val="맑은 고딕"/>
      <color rgb="001A4D2E"/>
      <sz val="10"/>
    </font>
    <font>
      <name val="맑은 고딕"/>
      <b val="1"/>
      <color rgb="00FFFFFF"/>
      <sz val="13"/>
    </font>
    <font>
      <name val="맑은 고딕"/>
      <b val="1"/>
      <color rgb="00000000"/>
      <sz val="11"/>
    </font>
    <font>
      <name val="맑은 고딕"/>
      <b val="1"/>
      <color rgb="00000000"/>
      <sz val="14"/>
    </font>
    <font>
      <name val="맑은 고딕"/>
      <color rgb="00888888"/>
      <sz val="9"/>
    </font>
    <font>
      <name val="맑은 고딕"/>
      <b val="1"/>
      <color rgb="000F7A35"/>
      <sz val="13"/>
    </font>
    <font>
      <name val="맑은 고딕"/>
      <color rgb="00000000"/>
      <sz val="11"/>
    </font>
    <font>
      <name val="맑은 고딕"/>
      <b val="1"/>
      <color rgb="00000000"/>
      <sz val="12"/>
    </font>
    <font>
      <name val="맑은 고딕"/>
      <color rgb="007C3A0A"/>
      <sz val="10"/>
    </font>
    <font>
      <name val="맑은 고딕"/>
      <b val="1"/>
      <color rgb="00FFFFFF"/>
      <sz val="15"/>
    </font>
    <font>
      <name val="맑은 고딕"/>
      <b val="1"/>
      <color rgb="007C3A0A"/>
      <sz val="11"/>
    </font>
  </fonts>
  <fills count="7">
    <fill>
      <patternFill/>
    </fill>
    <fill>
      <patternFill patternType="gray125"/>
    </fill>
    <fill>
      <patternFill patternType="solid">
        <fgColor rgb="00121212"/>
      </patternFill>
    </fill>
    <fill>
      <patternFill patternType="solid">
        <fgColor rgb="00E6F9EE"/>
      </patternFill>
    </fill>
    <fill>
      <patternFill patternType="solid">
        <fgColor rgb="001ED760"/>
      </patternFill>
    </fill>
    <fill>
      <patternFill patternType="solid">
        <fgColor rgb="00FFF7C0"/>
      </patternFill>
    </fill>
    <fill>
      <patternFill patternType="solid">
        <fgColor rgb="00FFF0E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164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5" fontId="11" fillId="0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/>
    </xf>
    <xf numFmtId="0" fontId="12" fillId="6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0" customWidth="1" min="3" max="3"/>
    <col width="30" customWidth="1" min="4" max="4"/>
  </cols>
  <sheetData>
    <row r="2" ht="38" customHeight="1">
      <c r="B2" s="1" t="inlineStr">
        <is>
          <t>상시 근로자 수 · 5인 미만 판정 계산기</t>
        </is>
      </c>
    </row>
    <row r="3" ht="20" customHeight="1">
      <c r="B3" s="2" t="inlineStr">
        <is>
          <t>공인노무사 JP  |  근기법 시행령 제7조의2 기준</t>
        </is>
      </c>
    </row>
    <row r="5">
      <c r="B5" s="3" t="inlineStr">
        <is>
          <t>▌ 계산 방법</t>
        </is>
      </c>
    </row>
    <row r="6" ht="22" customHeight="1">
      <c r="B6" s="4" t="inlineStr">
        <is>
          <t>① 기본값 = 1개월 연인원 ÷ 가동일수  (시행령 §7의2 ①)
② 보정: 5인 미만 근무일이 절반 이상 → 5인 미만 / 절반 미만 → 5인 이상  (동조 ②)</t>
        </is>
      </c>
    </row>
    <row r="7" ht="22" customHeight="1"/>
    <row r="9" ht="26" customHeight="1">
      <c r="B9" s="5" t="inlineStr">
        <is>
          <t>1. 숫자 입력 (노란 칸만 입력하세요)</t>
        </is>
      </c>
    </row>
    <row r="10" ht="24" customHeight="1">
      <c r="B10" s="6" t="inlineStr">
        <is>
          <t>가동일수 (해당 월 실제 운영일)</t>
        </is>
      </c>
      <c r="C10" s="7" t="n">
        <v>22</v>
      </c>
      <c r="D10" s="8" t="inlineStr">
        <is>
          <t>주말·공휴일 제외</t>
        </is>
      </c>
    </row>
    <row r="11" ht="24" customHeight="1">
      <c r="B11" s="6" t="inlineStr">
        <is>
          <t>연인원 (1개월간 출근 인원 합계)</t>
        </is>
      </c>
      <c r="C11" s="7" t="n">
        <v>112</v>
      </c>
      <c r="D11" s="8" t="inlineStr">
        <is>
          <t>예) 12일×6명 + 10일×4명 = 112</t>
        </is>
      </c>
    </row>
    <row r="12" ht="24" customHeight="1">
      <c r="B12" s="6" t="inlineStr">
        <is>
          <t>5인 미만 근무일 수</t>
        </is>
      </c>
      <c r="C12" s="7" t="n">
        <v>8</v>
      </c>
      <c r="D12" s="8" t="inlineStr">
        <is>
          <t>출근 1~4명이었던 날만 합산</t>
        </is>
      </c>
    </row>
    <row r="14" ht="26" customHeight="1">
      <c r="B14" s="5" t="inlineStr">
        <is>
          <t>2. 자동 계산 결과</t>
        </is>
      </c>
    </row>
    <row r="15" ht="24" customHeight="1">
      <c r="B15" s="6" t="inlineStr">
        <is>
          <t>① 기본 계산값 (연인원 ÷ 가동일수)</t>
        </is>
      </c>
      <c r="C15" s="9">
        <f>C11/C10</f>
        <v/>
      </c>
      <c r="D15" s="10">
        <f>IF(C15&gt;=5,"5인 이상","5인 미만")</f>
        <v/>
      </c>
    </row>
    <row r="16" ht="24" customHeight="1">
      <c r="B16" s="6" t="inlineStr">
        <is>
          <t>5인 미만 근무일 비율</t>
        </is>
      </c>
      <c r="C16" s="11">
        <f>C12/C10</f>
        <v/>
      </c>
      <c r="D16" s="10">
        <f>IF(C16&gt;=0.5,"절반 이상","절반 미만")</f>
        <v/>
      </c>
    </row>
    <row r="17" ht="24" customHeight="1">
      <c r="B17" s="6" t="inlineStr">
        <is>
          <t>② 보정 기준 적용</t>
        </is>
      </c>
      <c r="C17" s="12">
        <f>IF(C16&gt;=0.5,"5인 미만 근무일이 절반 이상 → 5인 미만","5인 미만 근무일이 절반 미만 → 5인 이상")</f>
        <v/>
      </c>
    </row>
    <row r="19" ht="26" customHeight="1">
      <c r="B19" s="5" t="inlineStr">
        <is>
          <t>3. 최종 판정</t>
        </is>
      </c>
    </row>
    <row r="20" ht="28" customHeight="1">
      <c r="B20" s="13">
        <f>IF(C16&gt;=0.5,"❌  5인 미만 사업장  (연차·가산수당·주52시간 등 미적용)","✅  5인 이상 사업장  (근로기준법 전면 적용)")</f>
        <v/>
      </c>
    </row>
    <row r="21" ht="28" customHeight="1"/>
    <row r="23">
      <c r="B23" s="14" t="inlineStr">
        <is>
          <t>⚠️ 5인 미만이라도 반드시 적용되는 것</t>
        </is>
      </c>
    </row>
    <row r="24" ht="22" customHeight="1">
      <c r="B24" s="15" t="inlineStr">
        <is>
          <t>해고예고(30일 전 또는 30일분 통상임금) · 근로계약서/임금명세서 교부 · 최저임금 · 퇴직금(1년 이상) · 산재 요양/산전후 휴가 중 해고 금지</t>
        </is>
      </c>
    </row>
    <row r="25" ht="22" customHeight="1"/>
    <row r="27" ht="28" customHeight="1">
      <c r="B27" s="16" t="inlineStr">
        <is>
          <t>본 계산기는 일반 정보 제공용이며 법률 자문이 아닙니다. 개별 사안은 공인노무사 JP(adxlabor@gmail.com)와 상담하세요.</t>
        </is>
      </c>
    </row>
  </sheetData>
  <mergeCells count="12">
    <mergeCell ref="B20:D21"/>
    <mergeCell ref="B3:D3"/>
    <mergeCell ref="B5:D5"/>
    <mergeCell ref="B6:D7"/>
    <mergeCell ref="B14:D14"/>
    <mergeCell ref="B19:D19"/>
    <mergeCell ref="B23:D23"/>
    <mergeCell ref="B24:D25"/>
    <mergeCell ref="B9:D9"/>
    <mergeCell ref="B27:D27"/>
    <mergeCell ref="C17:D17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2026-06-10T01:00:13Z</dcterms:created>
  <dcterms:modified xmlns:dcterms="http://purl.org/dc/terms/" xmlns:xsi="http://www.w3.org/2001/XMLSchema-instance" xsi:type="dcterms:W3CDTF">2026-06-10T01:00:13Z</dcterms:modified>
</cp:coreProperties>
</file>